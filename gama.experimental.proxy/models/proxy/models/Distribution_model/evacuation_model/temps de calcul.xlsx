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lucas\Documents\GitHub\gama.experimental\gama.experimental.proxy\models\proxy\models\Distribution_model\evacuation_model\"/>
    </mc:Choice>
  </mc:AlternateContent>
  <xr:revisionPtr revIDLastSave="0" documentId="13_ncr:1_{15A01898-BDCA-45F1-A63F-3A2D744F0B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E17" i="1"/>
  <c r="F17" i="1"/>
  <c r="G17" i="1"/>
  <c r="H17" i="1"/>
  <c r="C17" i="1"/>
  <c r="B17" i="1"/>
  <c r="G19" i="1" l="1"/>
  <c r="G20" i="1" s="1"/>
  <c r="D19" i="1"/>
  <c r="D20" i="1" s="1"/>
  <c r="E19" i="1"/>
  <c r="E20" i="1" s="1"/>
  <c r="F19" i="1"/>
  <c r="F20" i="1" s="1"/>
  <c r="G18" i="1"/>
  <c r="E18" i="1"/>
  <c r="D18" i="1"/>
  <c r="C18" i="1"/>
  <c r="C19" i="1"/>
  <c r="C20" i="1" s="1"/>
  <c r="H18" i="1"/>
  <c r="F18" i="1"/>
  <c r="H19" i="1"/>
  <c r="H20" i="1" s="1"/>
  <c r="B18" i="1"/>
</calcChain>
</file>

<file path=xl/sharedStrings.xml><?xml version="1.0" encoding="utf-8"?>
<sst xmlns="http://schemas.openxmlformats.org/spreadsheetml/2006/main" count="23" uniqueCount="22">
  <si>
    <t>4</t>
  </si>
  <si>
    <t>1</t>
  </si>
  <si>
    <t>Exec 1</t>
  </si>
  <si>
    <t>Exec 2</t>
  </si>
  <si>
    <t>Exec 3</t>
  </si>
  <si>
    <t>Exec 4</t>
  </si>
  <si>
    <t>Exec 5</t>
  </si>
  <si>
    <t>Exec 6</t>
  </si>
  <si>
    <t>Exec 7</t>
  </si>
  <si>
    <t>Exec 8</t>
  </si>
  <si>
    <t>Exec 9</t>
  </si>
  <si>
    <t>Exec 10</t>
  </si>
  <si>
    <t>2</t>
  </si>
  <si>
    <t xml:space="preserve">                                   Nombre de processeur
Temps d'exécution (en s)</t>
  </si>
  <si>
    <t>Temps moyen (seconde)</t>
  </si>
  <si>
    <t>Gain de temps par rapport à 1 proc</t>
  </si>
  <si>
    <t>Speedup</t>
  </si>
  <si>
    <t>Efficiency</t>
  </si>
  <si>
    <t>1.00</t>
  </si>
  <si>
    <t>KMEAN, 20000 agents</t>
  </si>
  <si>
    <t>6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</si>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</sst>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font>
        <b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5C67C2-EA55-4499-B6B6-E9AEBB316481}" name="Tableau224" displayName="Tableau224" ref="B6:F18" totalsRowCount="1" headerRowDxfId="14" dataDxfId="12" totalsRowDxfId="11" headerRowBorderDxfId="13" totalsRowBorderDxfId="10">
  <autoFilter ref="B6:F17" xr:uid="{1F5C67C2-EA55-4499-B6B6-E9AEBB316481}"/>
  <tableColumns count="5">
    <tableColumn id="1" xr3:uid="{2AE05C96-6F4C-496F-8B77-C8DB95DBD8B0}" name="1" totalsRowFunction="custom" dataDxfId="9" totalsRowDxfId="4">
      <totalsRowFormula>ROUND((B17-B17)/B17,3)</totalsRowFormula>
    </tableColumn>
    <tableColumn id="2" xr3:uid="{2F247BA6-665D-456D-ABCF-771D38A5D590}" name="2" totalsRowFunction="custom" dataDxfId="8" totalsRowDxfId="3">
      <totalsRowFormula>ROUND(($B17-C17)/$B17,3)</totalsRowFormula>
    </tableColumn>
    <tableColumn id="4" xr3:uid="{76E0D84A-F942-4D65-AC1E-CDB13A2D7A09}" name="4" totalsRowFunction="custom" dataDxfId="7" totalsRowDxfId="2">
      <totalsRowFormula>ROUND(($B17-D17)/$B17,3)</totalsRowFormula>
    </tableColumn>
    <tableColumn id="8" xr3:uid="{35388527-0468-4EA2-8984-2840CC39B521}" name="5" totalsRowFunction="custom" dataDxfId="6" totalsRowDxfId="1">
      <totalsRowFormula>ROUND(($B17-E17)/$B17,3)</totalsRowFormula>
    </tableColumn>
    <tableColumn id="16" xr3:uid="{7FAB6273-B251-436C-8422-3B5EF69AF9E3}" name="6" totalsRowFunction="custom" dataDxfId="5" totalsRowDxfId="0">
      <totalsRowFormula>ROUND(($B17-F17)/$B17,3)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20"/>
  <sheetViews>
    <sheetView tabSelected="1" topLeftCell="A4" workbookViewId="0">
      <selection activeCell="J15" sqref="J15"/>
    </sheetView>
  </sheetViews>
  <sheetFormatPr baseColWidth="10" defaultColWidth="8.88671875" defaultRowHeight="14.4" x14ac:dyDescent="0.3"/>
  <cols>
    <col min="1" max="1" width="36.109375" customWidth="1"/>
    <col min="2" max="2" width="13.6640625" customWidth="1"/>
    <col min="3" max="3" width="13.5546875" customWidth="1"/>
    <col min="4" max="4" width="10.88671875" customWidth="1"/>
  </cols>
  <sheetData>
    <row r="5" spans="1:8" ht="23.4" x14ac:dyDescent="0.45">
      <c r="A5" s="14" t="s">
        <v>19</v>
      </c>
      <c r="B5" s="14"/>
      <c r="C5" s="14"/>
      <c r="D5" s="14"/>
    </row>
    <row r="6" spans="1:8" ht="28.8" x14ac:dyDescent="0.3">
      <c r="A6" s="8" t="s">
        <v>13</v>
      </c>
      <c r="B6" s="1" t="s">
        <v>1</v>
      </c>
      <c r="C6" s="2" t="s">
        <v>12</v>
      </c>
      <c r="D6" s="2" t="s">
        <v>0</v>
      </c>
      <c r="E6" s="2" t="s">
        <v>21</v>
      </c>
      <c r="F6" s="11" t="s">
        <v>20</v>
      </c>
      <c r="G6" s="13">
        <v>32</v>
      </c>
      <c r="H6" s="12">
        <v>64</v>
      </c>
    </row>
    <row r="7" spans="1:8" x14ac:dyDescent="0.3">
      <c r="A7" s="9" t="s">
        <v>2</v>
      </c>
      <c r="B7" s="1">
        <v>336</v>
      </c>
      <c r="C7" s="2">
        <v>180</v>
      </c>
      <c r="D7" s="3"/>
      <c r="E7" s="11">
        <v>221</v>
      </c>
      <c r="F7" s="3">
        <v>248</v>
      </c>
      <c r="G7" s="3"/>
      <c r="H7" s="11"/>
    </row>
    <row r="8" spans="1:8" x14ac:dyDescent="0.3">
      <c r="A8" s="9" t="s">
        <v>3</v>
      </c>
      <c r="B8" s="1"/>
      <c r="C8" s="2">
        <v>180</v>
      </c>
      <c r="D8" s="2"/>
      <c r="E8" s="2"/>
      <c r="F8" s="2"/>
      <c r="G8" s="2"/>
      <c r="H8" s="2"/>
    </row>
    <row r="9" spans="1:8" x14ac:dyDescent="0.3">
      <c r="A9" s="9" t="s">
        <v>4</v>
      </c>
      <c r="B9" s="1"/>
      <c r="C9" s="2"/>
      <c r="D9" s="2"/>
      <c r="E9" s="2"/>
      <c r="F9" s="2"/>
      <c r="G9" s="2"/>
      <c r="H9" s="2"/>
    </row>
    <row r="10" spans="1:8" x14ac:dyDescent="0.3">
      <c r="A10" s="9" t="s">
        <v>5</v>
      </c>
      <c r="B10" s="1"/>
      <c r="C10" s="2"/>
      <c r="D10" s="2"/>
      <c r="E10" s="2"/>
      <c r="F10" s="2"/>
      <c r="G10" s="2"/>
      <c r="H10" s="2"/>
    </row>
    <row r="11" spans="1:8" x14ac:dyDescent="0.3">
      <c r="A11" s="9" t="s">
        <v>6</v>
      </c>
      <c r="B11" s="1"/>
      <c r="C11" s="2"/>
      <c r="D11" s="2"/>
      <c r="E11" s="2"/>
      <c r="F11" s="2"/>
      <c r="G11" s="2"/>
      <c r="H11" s="2"/>
    </row>
    <row r="12" spans="1:8" x14ac:dyDescent="0.3">
      <c r="A12" s="9" t="s">
        <v>7</v>
      </c>
      <c r="B12" s="1"/>
      <c r="C12" s="2"/>
      <c r="D12" s="2"/>
      <c r="E12" s="2"/>
      <c r="F12" s="2"/>
      <c r="G12" s="2"/>
      <c r="H12" s="2"/>
    </row>
    <row r="13" spans="1:8" x14ac:dyDescent="0.3">
      <c r="A13" s="9" t="s">
        <v>8</v>
      </c>
      <c r="B13" s="1"/>
      <c r="C13" s="2"/>
      <c r="D13" s="2"/>
      <c r="E13" s="2"/>
      <c r="F13" s="2"/>
      <c r="G13" s="2"/>
      <c r="H13" s="2"/>
    </row>
    <row r="14" spans="1:8" x14ac:dyDescent="0.3">
      <c r="A14" s="9" t="s">
        <v>9</v>
      </c>
      <c r="B14" s="1"/>
      <c r="C14" s="2"/>
      <c r="D14" s="2"/>
      <c r="E14" s="2"/>
      <c r="F14" s="2"/>
      <c r="G14" s="2"/>
      <c r="H14" s="2"/>
    </row>
    <row r="15" spans="1:8" x14ac:dyDescent="0.3">
      <c r="A15" s="9" t="s">
        <v>10</v>
      </c>
      <c r="B15" s="1"/>
      <c r="C15" s="2"/>
      <c r="D15" s="2"/>
      <c r="E15" s="2"/>
      <c r="F15" s="2"/>
      <c r="G15" s="2"/>
      <c r="H15" s="2"/>
    </row>
    <row r="16" spans="1:8" x14ac:dyDescent="0.3">
      <c r="A16" s="9" t="s">
        <v>11</v>
      </c>
      <c r="B16" s="1"/>
      <c r="C16" s="2"/>
      <c r="D16" s="2"/>
      <c r="E16" s="2"/>
      <c r="F16" s="2"/>
      <c r="G16" s="2"/>
      <c r="H16" s="2"/>
    </row>
    <row r="17" spans="1:8" x14ac:dyDescent="0.3">
      <c r="A17" s="4" t="s">
        <v>14</v>
      </c>
      <c r="B17" s="1">
        <f t="shared" ref="B17" si="0">AVERAGE(B7:B16)</f>
        <v>336</v>
      </c>
      <c r="C17" s="4">
        <f>AVERAGE(C7:C16)</f>
        <v>180</v>
      </c>
      <c r="D17" s="4" t="e">
        <f t="shared" ref="D17:H17" si="1">AVERAGE(D7:D16)</f>
        <v>#DIV/0!</v>
      </c>
      <c r="E17" s="4">
        <f t="shared" si="1"/>
        <v>221</v>
      </c>
      <c r="F17" s="4">
        <f t="shared" si="1"/>
        <v>248</v>
      </c>
      <c r="G17" s="4" t="e">
        <f t="shared" si="1"/>
        <v>#DIV/0!</v>
      </c>
      <c r="H17" s="4" t="e">
        <f t="shared" si="1"/>
        <v>#DIV/0!</v>
      </c>
    </row>
    <row r="18" spans="1:8" x14ac:dyDescent="0.3">
      <c r="A18" s="10" t="s">
        <v>15</v>
      </c>
      <c r="B18" s="1">
        <f>ROUND((B17-B17)/B17,3)</f>
        <v>0</v>
      </c>
      <c r="C18" s="5">
        <f t="shared" ref="C18:E18" si="2">ROUND(($B17-C17)/$B17,3)</f>
        <v>0.46400000000000002</v>
      </c>
      <c r="D18" s="5" t="e">
        <f t="shared" si="2"/>
        <v>#DIV/0!</v>
      </c>
      <c r="E18" s="5">
        <f t="shared" si="2"/>
        <v>0.34200000000000003</v>
      </c>
      <c r="F18" s="5">
        <f t="shared" ref="F18" si="3">ROUND(($B17-F17)/$B17,3)</f>
        <v>0.26200000000000001</v>
      </c>
      <c r="G18" s="5" t="e">
        <f>ROUND(($B17-G17)/$B17,3)</f>
        <v>#DIV/0!</v>
      </c>
      <c r="H18" s="5" t="e">
        <f>ROUND(($B17-H17)/$B17,3)</f>
        <v>#DIV/0!</v>
      </c>
    </row>
    <row r="19" spans="1:8" x14ac:dyDescent="0.3">
      <c r="A19" s="6" t="s">
        <v>16</v>
      </c>
      <c r="B19" s="1" t="s">
        <v>18</v>
      </c>
      <c r="C19" s="6">
        <f>($B17/C17)</f>
        <v>1.8666666666666667</v>
      </c>
      <c r="D19" s="6" t="e">
        <f t="shared" ref="D19:F19" si="4">($B17/D17)</f>
        <v>#DIV/0!</v>
      </c>
      <c r="E19" s="6">
        <f t="shared" si="4"/>
        <v>1.5203619909502262</v>
      </c>
      <c r="F19" s="6">
        <f t="shared" si="4"/>
        <v>1.3548387096774193</v>
      </c>
      <c r="G19" s="6" t="e">
        <f>($B17/G17)</f>
        <v>#DIV/0!</v>
      </c>
      <c r="H19" s="6" t="e">
        <f>($B17/H17)</f>
        <v>#DIV/0!</v>
      </c>
    </row>
    <row r="20" spans="1:8" x14ac:dyDescent="0.3">
      <c r="A20" s="7" t="s">
        <v>17</v>
      </c>
      <c r="B20" s="1" t="s">
        <v>18</v>
      </c>
      <c r="C20" s="7">
        <f>(C19/2)</f>
        <v>0.93333333333333335</v>
      </c>
      <c r="D20" s="7" t="e">
        <f>(D19/4)</f>
        <v>#DIV/0!</v>
      </c>
      <c r="E20" s="7">
        <f>(E19/8)</f>
        <v>0.19004524886877827</v>
      </c>
      <c r="F20" s="7">
        <f>(F19/16)</f>
        <v>8.4677419354838704E-2</v>
      </c>
      <c r="G20" s="7" t="e">
        <f>(G19/32)</f>
        <v>#DIV/0!</v>
      </c>
      <c r="H20" s="7" t="e">
        <f>(H19/64)</f>
        <v>#DIV/0!</v>
      </c>
    </row>
  </sheetData>
  <mergeCells count="1">
    <mergeCell ref="A5:D5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 Grosjean</cp:lastModifiedBy>
  <dcterms:created xsi:type="dcterms:W3CDTF">2015-06-05T18:19:34Z</dcterms:created>
  <dcterms:modified xsi:type="dcterms:W3CDTF">2025-04-26T07:50:13Z</dcterms:modified>
</cp:coreProperties>
</file>